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klog" sheetId="1" state="visible" r:id="rId3"/>
    <sheet name="Epic Summary" sheetId="2" state="visible" r:id="rId4"/>
    <sheet name="DoR · DoD · Legend" sheetId="3" state="visible" r:id="rId5"/>
  </sheets>
  <definedNames>
    <definedName function="false" hidden="true" localSheetId="0" name="_xlnm._FilterDatabase" vbProcedure="false">Backlog!$A$4:$J$54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<sst xmlns="http://schemas.openxmlformats.org/spreadsheetml/2006/main" count="505" uniqueCount="266">
  <si>
    <t xml:space="preserve">Guest House Ops Hub — Product Backlog v1.0</t>
  </si>
  <si>
    <t xml:space="preserve">Source: discovery doc 14 (14-backlog.md). Delta-to-enterprise-quality; delivered baseline excluded. Cross-refs: doc 02 (FR/NFR), 05 (BR), 06 (GAP), 07 (RSK), 09 (Q).</t>
  </si>
  <si>
    <t xml:space="preserve">Epic</t>
  </si>
  <si>
    <t xml:space="preserve">Epic name</t>
  </si>
  <si>
    <t xml:space="preserve">Story ID</t>
  </si>
  <si>
    <t xml:space="preserve">As a…</t>
  </si>
  <si>
    <t xml:space="preserve">Story</t>
  </si>
  <si>
    <t xml:space="preserve">Acceptance criteria (Given/When/Then)</t>
  </si>
  <si>
    <t xml:space="preserve">References</t>
  </si>
  <si>
    <t xml:space="preserve">Priority</t>
  </si>
  <si>
    <t xml:space="preserve">Points</t>
  </si>
  <si>
    <t xml:space="preserve">Status</t>
  </si>
  <si>
    <t xml:space="preserve">E1</t>
  </si>
  <si>
    <t xml:space="preserve">Production Safety &amp; Operability</t>
  </si>
  <si>
    <t xml:space="preserve">US-101</t>
  </si>
  <si>
    <t xml:space="preserve">MindBit ops</t>
  </si>
  <si>
    <t xml:space="preserve">Automated daily backups with an offsite copy per client DB</t>
  </si>
  <si>
    <t xml:space="preserve">GIVEN a client deployment WHEN the nightly job runs THEN a restorable snapshot exists offsite, retention 30d, and failure alerts ops.</t>
  </si>
  <si>
    <t xml:space="preserve">GAP-1, RSK-08</t>
  </si>
  <si>
    <t xml:space="preserve">P0</t>
  </si>
  <si>
    <t xml:space="preserve">Proposed</t>
  </si>
  <si>
    <t xml:space="preserve">US-102</t>
  </si>
  <si>
    <t xml:space="preserve">Documented, drilled restore runbook</t>
  </si>
  <si>
    <t xml:space="preserve">GIVEN a snapshot WHEN the runbook is executed on a scratch instance quarterly THEN RTO ≤ 4h is verified and logged.</t>
  </si>
  <si>
    <t xml:space="preserve">GAP-1</t>
  </si>
  <si>
    <t xml:space="preserve">US-103</t>
  </si>
  <si>
    <t xml:space="preserve">Error tracking + uptime checks on every deployment</t>
  </si>
  <si>
    <t xml:space="preserve">GIVEN an unhandled error or downtime WHEN it occurs THEN it appears in monitoring within 5 min tagged by client, and the UI shows an incident ID.</t>
  </si>
  <si>
    <t xml:space="preserve">GAP-17</t>
  </si>
  <si>
    <t xml:space="preserve">US-104</t>
  </si>
  <si>
    <t xml:space="preserve">Owner</t>
  </si>
  <si>
    <t xml:space="preserve">Sync health visible (iCal last-success, forwarder heartbeat, cron status) with staleness warnings</t>
  </si>
  <si>
    <t xml:space="preserve">GIVEN a feed not synced &gt;12h WHEN I open Feeds/Today THEN a visible warning shows the age AND a push/alert fires (with E5).</t>
  </si>
  <si>
    <t xml:space="preserve">GAP-5, BR-AVL-05</t>
  </si>
  <si>
    <t xml:space="preserve">US-105</t>
  </si>
  <si>
    <t xml:space="preserve">Fleet dashboard: version, health, cron, backup status across clients</t>
  </si>
  <si>
    <t xml:space="preserve">GIVEN ≥2 deployments WHEN I open the dashboard THEN each shows version+health+last backup+last sync, red on breach.</t>
  </si>
  <si>
    <t xml:space="preserve">GAP-18</t>
  </si>
  <si>
    <t xml:space="preserve">P1</t>
  </si>
  <si>
    <t xml:space="preserve">E2</t>
  </si>
  <si>
    <t xml:space="preserve">Compliance: DPDP, Form C, GST</t>
  </si>
  <si>
    <t xml:space="preserve">US-201</t>
  </si>
  <si>
    <t xml:space="preserve">Pre-filled Form C artefact for a foreign guest, with submission tracking</t>
  </si>
  <si>
    <t xml:space="preserve">GIVEN a checked-in foreign guest WHEN I tap 'Form C' THEN a print-ready artefact with the 13 fields renders; a due-in-24h reminder persists until 'submitted' is ticked (audited).</t>
  </si>
  <si>
    <t xml:space="preserve">GAP-7, Q-LEG-02</t>
  </si>
  <si>
    <t xml:space="preserve">US-202</t>
  </si>
  <si>
    <t xml:space="preserve">Export and erase all data held about a guest (DPDP rights)</t>
  </si>
  <si>
    <t xml:space="preserve">GIVEN a guest requests erasure WHEN I trigger it THEN PII is removed/anonymised, bookings keep non-identifying financial integrity, and the action is audited.</t>
  </si>
  <si>
    <t xml:space="preserve">GAP-8</t>
  </si>
  <si>
    <t xml:space="preserve">US-203</t>
  </si>
  <si>
    <t xml:space="preserve">MindBit</t>
  </si>
  <si>
    <t xml:space="preserve">Sane ID-scan retention default; purge provably runs</t>
  </si>
  <si>
    <t xml:space="preserve">GIVEN a new property WHEN created THEN idRetentionDays defaults (e.g. 180); purge logs deletions; owner notified of policy.</t>
  </si>
  <si>
    <t xml:space="preserve">BR-GST-05</t>
  </si>
  <si>
    <t xml:space="preserve">US-204</t>
  </si>
  <si>
    <t xml:space="preserve">Breach-notification runbook + guest-facing privacy notice (incl. AI/US-cloud processing)</t>
  </si>
  <si>
    <t xml:space="preserve">Docs approved by counsel; notice linked in app.</t>
  </si>
  <si>
    <t xml:space="preserve">NFR-PRV-01/04</t>
  </si>
  <si>
    <t xml:space="preserve">US-205</t>
  </si>
  <si>
    <t xml:space="preserve">Owner (GST)</t>
  </si>
  <si>
    <t xml:space="preserve">Invoices carry sequential per-FY numbers, GST lines, stored immutably</t>
  </si>
  <si>
    <t xml:space="preserve">GIVEN GSTIN configured WHEN an invoice is issued THEN an Invoice record exists with number series, tax lines per rate, immutable snapshot; reprint is identical.</t>
  </si>
  <si>
    <t xml:space="preserve">GAP-11, Q-FIN-02</t>
  </si>
  <si>
    <t xml:space="preserve">US-206</t>
  </si>
  <si>
    <t xml:space="preserve">Guest</t>
  </si>
  <si>
    <t xml:space="preserve">Server-side PDF invoices</t>
  </si>
  <si>
    <t xml:space="preserve">Pixel-stable PDF, downloadable on a phone.</t>
  </si>
  <si>
    <t xml:space="preserve">GAP-11</t>
  </si>
  <si>
    <t xml:space="preserve">P2</t>
  </si>
  <si>
    <t xml:space="preserve">E3</t>
  </si>
  <si>
    <t xml:space="preserve">OTA Ingestion completeness</t>
  </si>
  <si>
    <t xml:space="preserve">US-301</t>
  </si>
  <si>
    <t xml:space="preserve">Reception</t>
  </si>
  <si>
    <t xml:space="preserve">OTA modification/cancellation emails match the existing booking and guide the update</t>
  </si>
  <si>
    <t xml:space="preserve">GIVEN a booking with otaRef X WHEN a modification email for X is ingested THEN the pending item links to the booking, shows a diff, and 'Apply' updates via the normal conflict-checked path.</t>
  </si>
  <si>
    <t xml:space="preserve">GAP-2</t>
  </si>
  <si>
    <t xml:space="preserve">US-302</t>
  </si>
  <si>
    <t xml:space="preserve">Fixture corpus of real OTA emails gates parser changes in CI</t>
  </si>
  <si>
    <t xml:space="preserve">GIVEN the corpus (Q-OTA-02) WHEN the parser changes THEN CI runs fixtures and reports extraction accuracy.</t>
  </si>
  <si>
    <t xml:space="preserve">RSK-13</t>
  </si>
  <si>
    <t xml:space="preserve">US-303</t>
  </si>
  <si>
    <t xml:space="preserve">Configurable iCal sync frequency (up to hourly)</t>
  </si>
  <si>
    <t xml:space="preserve">Configurable; respects OTA politeness; health surfaced (US-104).</t>
  </si>
  <si>
    <t xml:space="preserve">GAP-6</t>
  </si>
  <si>
    <t xml:space="preserve">US-304</t>
  </si>
  <si>
    <t xml:space="preserve">Last-room oversell buffer per room type</t>
  </si>
  <si>
    <t xml:space="preserve">GIVEN buffer=1 on Deluxe(3 units) WHEN 2 are booked THEN agent/community availability reports 0; direct booking still possible with warning.</t>
  </si>
  <si>
    <t xml:space="preserve">GAP-24</t>
  </si>
  <si>
    <t xml:space="preserve">US-305</t>
  </si>
  <si>
    <t xml:space="preserve">Duplicate OTA confirmations never create two bookings</t>
  </si>
  <si>
    <t xml:space="preserve">GIVEN a booking with otaRef X WHEN the same-ref email is ingested THEN it is flagged duplicate; no new pending create.</t>
  </si>
  <si>
    <t xml:space="preserve">BR-OTA-03</t>
  </si>
  <si>
    <t xml:space="preserve">US-306</t>
  </si>
  <si>
    <t xml:space="preserve">Card data redacted from ingested emails before storage</t>
  </si>
  <si>
    <t xml:space="preserve">GIVEN a fixture containing a virtual card WHEN ingested THEN the stored record contains none of it.</t>
  </si>
  <si>
    <t xml:space="preserve">ASM-18, Q-OTA-03</t>
  </si>
  <si>
    <t xml:space="preserve">E4</t>
  </si>
  <si>
    <t xml:space="preserve">Money correctness</t>
  </si>
  <si>
    <t xml:space="preserve">US-401</t>
  </si>
  <si>
    <t xml:space="preserve">Engineering</t>
  </si>
  <si>
    <t xml:space="preserve">Money as integer paise end-to-end with a typed money util</t>
  </si>
  <si>
    <t xml:space="preserve">All money fields migrated; property tests on arithmetic; CSVs/invoices unchanged to the rupee.</t>
  </si>
  <si>
    <t xml:space="preserve">GAP-9</t>
  </si>
  <si>
    <t xml:space="preserve">US-402</t>
  </si>
  <si>
    <t xml:space="preserve">Staff API responses never contain money fields</t>
  </si>
  <si>
    <t xml:space="preserve">GIVEN a reception session WHEN any endpoint returns a reservation THEN grossAmount etc. are absent; contract tests per role.</t>
  </si>
  <si>
    <t xml:space="preserve">GAP-12</t>
  </si>
  <si>
    <t xml:space="preserve">US-403</t>
  </si>
  <si>
    <t xml:space="preserve">Postgres RLS enforces property scoping (defence-in-depth)</t>
  </si>
  <si>
    <t xml:space="preserve">RLS policies on tenant tables keyed to session property; raw-SQL leak test proves containment.</t>
  </si>
  <si>
    <t xml:space="preserve">GAP-12, RSK-17</t>
  </si>
  <si>
    <t xml:space="preserve">US-404</t>
  </si>
  <si>
    <t xml:space="preserve">Payment corrections are void+reversal with audit</t>
  </si>
  <si>
    <t xml:space="preserve">Edit disabled; void creates a reversing entry; both audited.</t>
  </si>
  <si>
    <t xml:space="preserve">BR-PAY-05, Q-FIN-04</t>
  </si>
  <si>
    <t xml:space="preserve">US-405</t>
  </si>
  <si>
    <t xml:space="preserve">OTA payout recording with owed-vs-received per OTA</t>
  </si>
  <si>
    <t xml:space="preserve">Payout entity matched to bookings; Finance shows variance.</t>
  </si>
  <si>
    <t xml:space="preserve">GAP-13</t>
  </si>
  <si>
    <t xml:space="preserve">US-406</t>
  </si>
  <si>
    <t xml:space="preserve">Deterministic refund rules per ratified answers</t>
  </si>
  <si>
    <t xml:space="preserve">Ladder base per Q-FIN-07; refund ≤ paid enforced; OTA-collect path documented.</t>
  </si>
  <si>
    <t xml:space="preserve">BR-CANC-03/04/05</t>
  </si>
  <si>
    <t xml:space="preserve">US-407</t>
  </si>
  <si>
    <t xml:space="preserve">Razorpay capture + room-hold (when keys provided)</t>
  </si>
  <si>
    <t xml:space="preserve">Idempotent webhook (replay-safe test); hold expires → release; exclusion constraint untouched.</t>
  </si>
  <si>
    <t xml:space="preserve">FR-PAY-5</t>
  </si>
  <si>
    <t xml:space="preserve">E5</t>
  </si>
  <si>
    <t xml:space="preserve">Notifications &amp; Messaging activation</t>
  </si>
  <si>
    <t xml:space="preserve">US-501</t>
  </si>
  <si>
    <t xml:space="preserve">Push notification for high-severity escalations and new conflicts</t>
  </si>
  <si>
    <t xml:space="preserve">GIVEN a subscribed device WHEN the event fires THEN push within 1 min, deep-linking to the item; per-event toggles in Settings.</t>
  </si>
  <si>
    <t xml:space="preserve">GAP-14, BR-AI-05</t>
  </si>
  <si>
    <t xml:space="preserve">US-502</t>
  </si>
  <si>
    <t xml:space="preserve">WhatsApp templates (En/Kha/Hi) approved and parameterised</t>
  </si>
  <si>
    <t xml:space="preserve">Templates submitted+approved; outbox sends real messages with params; language chosen per guest.</t>
  </si>
  <si>
    <t xml:space="preserve">GAP-3</t>
  </si>
  <si>
    <t xml:space="preserve">US-503</t>
  </si>
  <si>
    <t xml:space="preserve">Guest replies visible in a unified message log</t>
  </si>
  <si>
    <t xml:space="preserve">Inbound webhook stores replies; thread view per guest; ownership per Q-AI-04 decision.</t>
  </si>
  <si>
    <t xml:space="preserve">GAP-4</t>
  </si>
  <si>
    <t xml:space="preserve">US-504</t>
  </si>
  <si>
    <t xml:space="preserve">Message opt-out and quiet hours</t>
  </si>
  <si>
    <t xml:space="preserve">STOP handling; no sends 22:00–07:00 except OTP-class.</t>
  </si>
  <si>
    <t xml:space="preserve">RSK-15</t>
  </si>
  <si>
    <t xml:space="preserve">E6</t>
  </si>
  <si>
    <t xml:space="preserve">Auth &amp; access hardening</t>
  </si>
  <si>
    <t xml:space="preserve">US-601</t>
  </si>
  <si>
    <t xml:space="preserve">Staff</t>
  </si>
  <si>
    <t xml:space="preserve">Join via email invite and set own password</t>
  </si>
  <si>
    <t xml:space="preserve">Invite → expiring link → set password → role/property pre-assigned.</t>
  </si>
  <si>
    <t xml:space="preserve">GAP-10</t>
  </si>
  <si>
    <t xml:space="preserve">US-602</t>
  </si>
  <si>
    <t xml:space="preserve">Any user</t>
  </si>
  <si>
    <t xml:space="preserve">Self-service password reset</t>
  </si>
  <si>
    <t xml:space="preserve">Reset link, single-use, rate-limited.</t>
  </si>
  <si>
    <t xml:space="preserve">US-603</t>
  </si>
  <si>
    <t xml:space="preserve">Disable/role change revokes sessions</t>
  </si>
  <si>
    <t xml:space="preserve">Per Q-SEC-03 ratified semantics; test proves stale session rejected.</t>
  </si>
  <si>
    <t xml:space="preserve">AMB-21</t>
  </si>
  <si>
    <t xml:space="preserve">US-604</t>
  </si>
  <si>
    <t xml:space="preserve">ID-document access is logged</t>
  </si>
  <si>
    <t xml:space="preserve">Every view/download → audit entry; owner-visible.</t>
  </si>
  <si>
    <t xml:space="preserve">Q-SEC-04, GAP-15</t>
  </si>
  <si>
    <t xml:space="preserve">US-605</t>
  </si>
  <si>
    <t xml:space="preserve">Keyed hashing for shared-list phone matching</t>
  </si>
  <si>
    <t xml:space="preserve">Pepper per network; enumeration infeasible; migration for existing hashes.</t>
  </si>
  <si>
    <t xml:space="preserve">NFR-SEC-09</t>
  </si>
  <si>
    <t xml:space="preserve">US-606</t>
  </si>
  <si>
    <t xml:space="preserve">CI guard for raw-SQL tenant scoping</t>
  </si>
  <si>
    <t xml:space="preserve">Lint rule / grep-gate fails PRs with unscoped tenant-table raw SQL.</t>
  </si>
  <si>
    <t xml:space="preserve">NFR-SEC-06</t>
  </si>
  <si>
    <t xml:space="preserve">E7</t>
  </si>
  <si>
    <t xml:space="preserve">Fleet &amp; onboarding</t>
  </si>
  <si>
    <t xml:space="preserve">US-701</t>
  </si>
  <si>
    <t xml:space="preserve">One-command client provisioning (deploy+DB+seed+env)</t>
  </si>
  <si>
    <t xml:space="preserve">New deployment live &lt;2h hands-on; checklist auto-verified.</t>
  </si>
  <si>
    <t xml:space="preserve">GAP-18, Q-DEP-01</t>
  </si>
  <si>
    <t xml:space="preserve">US-702</t>
  </si>
  <si>
    <t xml:space="preserve">New owner</t>
  </si>
  <si>
    <t xml:space="preserve">Setup wizard: property, rooms, channels, policies, staff</t>
  </si>
  <si>
    <t xml:space="preserve">First-run wizard completes to a bookable state without support.</t>
  </si>
  <si>
    <t xml:space="preserve">US-703</t>
  </si>
  <si>
    <t xml:space="preserve">Staged fleet upgrades (canary → all) with pre-migration backup gates</t>
  </si>
  <si>
    <t xml:space="preserve">Scripted; halt-on-failure; version visible in fleet dashboard.</t>
  </si>
  <si>
    <t xml:space="preserve">RSK-09</t>
  </si>
  <si>
    <t xml:space="preserve">US-704</t>
  </si>
  <si>
    <t xml:space="preserve">Client</t>
  </si>
  <si>
    <t xml:space="preserve">Complete data export on request (offboarding)</t>
  </si>
  <si>
    <t xml:space="preserve">DB export + documents + CSVs delivered; runbook.</t>
  </si>
  <si>
    <t xml:space="preserve">GAP-23</t>
  </si>
  <si>
    <t xml:space="preserve">US-705</t>
  </si>
  <si>
    <t xml:space="preserve">Pilot billing operates with a rate card</t>
  </si>
  <si>
    <t xml:space="preserve">Pricing ratified (Q-BUS-03); invoices issued; revenue tracked vs grant milestone.</t>
  </si>
  <si>
    <t xml:space="preserve">GAP-27</t>
  </si>
  <si>
    <t xml:space="preserve">US-706</t>
  </si>
  <si>
    <t xml:space="preserve">Sales</t>
  </si>
  <si>
    <t xml:space="preserve">Seeded demo tenant</t>
  </si>
  <si>
    <t xml:space="preserve">Demo data realistic; reset script.</t>
  </si>
  <si>
    <t xml:space="preserve">GAP-30</t>
  </si>
  <si>
    <t xml:space="preserve">E8</t>
  </si>
  <si>
    <t xml:space="preserve">Localization &amp; accessibility</t>
  </si>
  <si>
    <t xml:space="preserve">US-801</t>
  </si>
  <si>
    <t xml:space="preserve">All UI strings externalized (i18n framework)</t>
  </si>
  <si>
    <t xml:space="preserve">No hardcoded user-facing strings; language-switch scaffolding.</t>
  </si>
  <si>
    <t xml:space="preserve">GAP-16</t>
  </si>
  <si>
    <t xml:space="preserve">US-802</t>
  </si>
  <si>
    <t xml:space="preserve">Khasi-speaking operator</t>
  </si>
  <si>
    <t xml:space="preserve">Core flows available in Khasi</t>
  </si>
  <si>
    <t xml:space="preserve">Today/Calendar/Booking/Payments/Housekeeping translated; reviewed per Q-L10N-03.</t>
  </si>
  <si>
    <t xml:space="preserve">US-803</t>
  </si>
  <si>
    <t xml:space="preserve">Core flows meet WCAG 2.1 AA basics</t>
  </si>
  <si>
    <t xml:space="preserve">Contrast, touch targets ≥44px, labels; audit checklist passes.</t>
  </si>
  <si>
    <t xml:space="preserve">GAP-21</t>
  </si>
  <si>
    <t xml:space="preserve">E9</t>
  </si>
  <si>
    <t xml:space="preserve">Verification &amp; spec-truth</t>
  </si>
  <si>
    <t xml:space="preserve">US-901</t>
  </si>
  <si>
    <t xml:space="preserve">Team</t>
  </si>
  <si>
    <t xml:space="preserve">Offline behaviour audited and specified honestly</t>
  </si>
  <si>
    <t xml:space="preserve">Doc: which reads cache, which writes queue, conflict UX; User Guide corrected if overstated; 2G field test.</t>
  </si>
  <si>
    <t xml:space="preserve">GAP-25, Q-TEC-04</t>
  </si>
  <si>
    <t xml:space="preserve">US-902</t>
  </si>
  <si>
    <t xml:space="preserve">Community topology documented as an ADR</t>
  </si>
  <si>
    <t xml:space="preserve">Where registries live, who controls, failure modes; counsel-reviewed.</t>
  </si>
  <si>
    <t xml:space="preserve">GAP-26, Q-LEG-03</t>
  </si>
  <si>
    <t xml:space="preserve">US-903</t>
  </si>
  <si>
    <t xml:space="preserve">Route-level test: booking create overlap → 409</t>
  </si>
  <si>
    <t xml:space="preserve">Vitest route test green; guards db-errors sniffing.</t>
  </si>
  <si>
    <t xml:space="preserve">NFR-MNT-02</t>
  </si>
  <si>
    <t xml:space="preserve">US-904</t>
  </si>
  <si>
    <t xml:space="preserve">Housekeeping derivation test</t>
  </si>
  <si>
    <t xml:space="preserve">Checkout ⇒ task appears; mark-clean ⇒ ready.</t>
  </si>
  <si>
    <t xml:space="preserve">US-905</t>
  </si>
  <si>
    <t xml:space="preserve">Room-assignment product stance ratified and recorded</t>
  </si>
  <si>
    <t xml:space="preserve">Decision workshop output; if type-level chosen, spike estimates constraint redesign.</t>
  </si>
  <si>
    <t xml:space="preserve">GAP-29, Q-OPS-05</t>
  </si>
  <si>
    <t xml:space="preserve">US-906</t>
  </si>
  <si>
    <t xml:space="preserve">Per-feed iCal tokens replace the single token</t>
  </si>
  <si>
    <t xml:space="preserve">Rotation per feed; old URLs invalidated gracefully.</t>
  </si>
  <si>
    <t xml:space="preserve">ROADMAP suggestion</t>
  </si>
  <si>
    <t xml:space="preserve">US-907</t>
  </si>
  <si>
    <t xml:space="preserve">Guest merge tool with audit</t>
  </si>
  <si>
    <t xml:space="preserve">Merge preserves stays/LTV; irreversible warning; audited.</t>
  </si>
  <si>
    <t xml:space="preserve">GAP-19</t>
  </si>
  <si>
    <t xml:space="preserve">Epic Summary — counts &amp; points derive from the Backlog sheet</t>
  </si>
  <si>
    <t xml:space="preserve">Stories</t>
  </si>
  <si>
    <t xml:space="preserve">P0 stories</t>
  </si>
  <si>
    <t xml:space="preserve">P1 stories</t>
  </si>
  <si>
    <t xml:space="preserve">P2 stories</t>
  </si>
  <si>
    <t xml:space="preserve">P0 points</t>
  </si>
  <si>
    <t xml:space="preserve">TOTAL</t>
  </si>
  <si>
    <t xml:space="preserve">Working agreements</t>
  </si>
  <si>
    <t xml:space="preserve">Definition of Ready</t>
  </si>
  <si>
    <t xml:space="preserve">Open questions referenced by the story are answered; acceptance criteria agreed; test data identified; any touch to the GiST-constraint/migration machinery flagged for senior review.</t>
  </si>
  <si>
    <t xml:space="preserve">Definition of Done</t>
  </si>
  <si>
    <t xml:space="preserve">Code + tests (unit; route-level where API changes) green in CI; migration via db:migrate:new only; docs updated (USER-GUIDE/ARCHITECTURE); audit/RBAC respected; deployed to a pilot-mirror environment; demoed.</t>
  </si>
  <si>
    <t xml:space="preserve">Priority P0</t>
  </si>
  <si>
    <t xml:space="preserve">Production-safety / legal — gate for scaling past first pilots (Roadmap Phase 1).</t>
  </si>
  <si>
    <t xml:space="preserve">Priority P1</t>
  </si>
  <si>
    <t xml:space="preserve">Scale &amp; commercial — grant Q2/Q3 alignment (Roadmap Phase 2).</t>
  </si>
  <si>
    <t xml:space="preserve">Priority P2</t>
  </si>
  <si>
    <t xml:space="preserve">Quality &amp; experience — Roadmap Phase 3.</t>
  </si>
  <si>
    <t xml:space="preserve">Status values</t>
  </si>
  <si>
    <t xml:space="preserve">Proposed → Ready → In progress → Done (set 'Proposed' by default; update during grooming).</t>
  </si>
  <si>
    <t xml:space="preserve">Import note</t>
  </si>
  <si>
    <t xml:space="preserve">Backlog sheet columns map 1:1 to Jira CSV import (Epic Link, Summary=Story, Description=AC, Labels=References, Priority, Story Points).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</si>
</sst>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2303F"/>
      <name val="Arial"/>
      <family val="0"/>
      <charset val="1"/>
    </font>
    <font>
      <sz val="9"/>
      <color rgb="FF5B6B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.5"/>
      <name val="Arial"/>
      <family val="0"/>
      <charset val="1"/>
    </font>
    <font>
      <b val="true"/>
      <sz val="9.5"/>
      <color rgb="FFB3362B"/>
      <name val="Arial"/>
      <family val="0"/>
      <charset val="1"/>
    </font>
    <font>
      <b val="true"/>
      <sz val="9.5"/>
      <color rgb="FFA8690A"/>
      <name val="Arial"/>
      <family val="0"/>
      <charset val="1"/>
    </font>
    <font>
      <b val="true"/>
      <sz val="9.5"/>
      <color rgb="FF0B7D6B"/>
      <name val="Arial"/>
      <family val="0"/>
      <charset val="1"/>
    </font>
    <font>
      <b val="true"/>
      <sz val="13"/>
      <color rgb="FF12303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2303F"/>
        <bgColor rgb="FF333333"/>
      </patternFill>
    </fill>
    <fill>
      <patternFill patternType="solid">
        <fgColor rgb="FFFBEAE8"/>
        <bgColor rgb="FFFDF3E3"/>
      </patternFill>
    </fill>
    <fill>
      <patternFill patternType="solid">
        <fgColor rgb="FFFDF3E3"/>
        <bgColor rgb="FFFBEAE8"/>
      </patternFill>
    </fill>
    <fill>
      <patternFill patternType="solid">
        <fgColor rgb="FFE7F5F1"/>
        <bgColor rgb="FFFDF3E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E2DE"/>
      </left>
      <right style="thin">
        <color rgb="FFD9E2DE"/>
      </right>
      <top style="thin">
        <color rgb="FFD9E2DE"/>
      </top>
      <bottom style="thin">
        <color rgb="FFD9E2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2303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F5F1"/>
          <bgColor rgb="FF000000"/>
        </patternFill>
      </fill>
    </dxf>
    <dxf>
      <fill>
        <patternFill patternType="solid">
          <fgColor rgb="FFFBEAE8"/>
          <bgColor rgb="FF000000"/>
        </patternFill>
      </fill>
    </dxf>
    <dxf>
      <fill>
        <patternFill patternType="solid">
          <fgColor rgb="FFFDF3E3"/>
          <bgColor rgb="FF000000"/>
        </patternFill>
      </fill>
    </dxf>
    <dxf>
      <fill>
        <patternFill patternType="solid">
          <fgColor rgb="FF0B7D6B"/>
          <bgColor rgb="FF000000"/>
        </patternFill>
      </fill>
    </dxf>
    <dxf>
      <fill>
        <patternFill patternType="solid">
          <fgColor rgb="FFA8690A"/>
          <bgColor rgb="FF000000"/>
        </patternFill>
      </fill>
    </dxf>
    <dxf>
      <fill>
        <patternFill patternType="solid">
          <fgColor rgb="FFB3362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8690A"/>
      <rgbColor rgb="FF800080"/>
      <rgbColor rgb="FF0B7D6B"/>
      <rgbColor rgb="FFC0C0C0"/>
      <rgbColor rgb="FF808080"/>
      <rgbColor rgb="FF9999FF"/>
      <rgbColor rgb="FF993366"/>
      <rgbColor rgb="FFFDF3E3"/>
      <rgbColor rgb="FFE7F5F1"/>
      <rgbColor rgb="FF660066"/>
      <rgbColor rgb="FFFF8080"/>
      <rgbColor rgb="FF0066CC"/>
      <rgbColor rgb="FFD9E2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BEAE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64"/>
      <rgbColor rgb="FF969696"/>
      <rgbColor rgb="FF12303F"/>
      <rgbColor rgb="FF339966"/>
      <rgbColor rgb="FF003300"/>
      <rgbColor rgb="FF333300"/>
      <rgbColor rgb="FFB336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9"/>
    <col collapsed="false" customWidth="true" hidden="false" outlineLevel="0" max="4" min="4" style="0" width="16"/>
    <col collapsed="false" customWidth="true" hidden="false" outlineLevel="0" max="5" min="5" style="0" width="44"/>
    <col collapsed="false" customWidth="true" hidden="false" outlineLevel="0" max="6" min="6" style="0" width="62"/>
    <col collapsed="false" customWidth="true" hidden="false" outlineLevel="0" max="7" min="7" style="0" width="20"/>
    <col collapsed="false" customWidth="true" hidden="false" outlineLevel="0" max="8" min="8" style="0" width="9"/>
    <col collapsed="false" customWidth="true" hidden="false" outlineLevel="0" max="9" min="9" style="0" width="8"/>
    <col collapsed="false" customWidth="true" hidden="false" outlineLevel="0" max="10" min="10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23.85" hidden="false" customHeight="false" outlineLevel="0" collapsed="false">
      <c r="A5" s="4" t="s">
        <v>12</v>
      </c>
      <c r="B5" s="5" t="s">
        <v>13</v>
      </c>
      <c r="C5" s="4" t="s">
        <v>14</v>
      </c>
      <c r="D5" s="5" t="s">
        <v>15</v>
      </c>
      <c r="E5" s="5" t="s">
        <v>16</v>
      </c>
      <c r="F5" s="5" t="s">
        <v>17</v>
      </c>
      <c r="G5" s="5" t="s">
        <v>18</v>
      </c>
      <c r="H5" s="6" t="s">
        <v>19</v>
      </c>
      <c r="I5" s="7" t="n">
        <v>5</v>
      </c>
      <c r="J5" s="4" t="s">
        <v>20</v>
      </c>
    </row>
    <row r="6" customFormat="false" ht="23.85" hidden="false" customHeight="false" outlineLevel="0" collapsed="false">
      <c r="A6" s="4" t="s">
        <v>12</v>
      </c>
      <c r="B6" s="5" t="s">
        <v>13</v>
      </c>
      <c r="C6" s="4" t="s">
        <v>21</v>
      </c>
      <c r="D6" s="5" t="s">
        <v>15</v>
      </c>
      <c r="E6" s="5" t="s">
        <v>22</v>
      </c>
      <c r="F6" s="5" t="s">
        <v>23</v>
      </c>
      <c r="G6" s="5" t="s">
        <v>24</v>
      </c>
      <c r="H6" s="6" t="s">
        <v>19</v>
      </c>
      <c r="I6" s="7" t="n">
        <v>3</v>
      </c>
      <c r="J6" s="4" t="s">
        <v>20</v>
      </c>
    </row>
    <row r="7" customFormat="false" ht="23.85" hidden="false" customHeight="false" outlineLevel="0" collapsed="false">
      <c r="A7" s="4" t="s">
        <v>12</v>
      </c>
      <c r="B7" s="5" t="s">
        <v>13</v>
      </c>
      <c r="C7" s="4" t="s">
        <v>25</v>
      </c>
      <c r="D7" s="5" t="s">
        <v>15</v>
      </c>
      <c r="E7" s="5" t="s">
        <v>26</v>
      </c>
      <c r="F7" s="5" t="s">
        <v>27</v>
      </c>
      <c r="G7" s="5" t="s">
        <v>28</v>
      </c>
      <c r="H7" s="6" t="s">
        <v>19</v>
      </c>
      <c r="I7" s="7" t="n">
        <v>5</v>
      </c>
      <c r="J7" s="4" t="s">
        <v>20</v>
      </c>
    </row>
    <row r="8" customFormat="false" ht="23.85" hidden="false" customHeight="false" outlineLevel="0" collapsed="false">
      <c r="A8" s="4" t="s">
        <v>12</v>
      </c>
      <c r="B8" s="5" t="s">
        <v>13</v>
      </c>
      <c r="C8" s="4" t="s">
        <v>29</v>
      </c>
      <c r="D8" s="5" t="s">
        <v>30</v>
      </c>
      <c r="E8" s="5" t="s">
        <v>31</v>
      </c>
      <c r="F8" s="5" t="s">
        <v>32</v>
      </c>
      <c r="G8" s="5" t="s">
        <v>33</v>
      </c>
      <c r="H8" s="6" t="s">
        <v>19</v>
      </c>
      <c r="I8" s="7" t="n">
        <v>5</v>
      </c>
      <c r="J8" s="4" t="s">
        <v>20</v>
      </c>
    </row>
    <row r="9" customFormat="false" ht="23.85" hidden="false" customHeight="false" outlineLevel="0" collapsed="false">
      <c r="A9" s="4" t="s">
        <v>12</v>
      </c>
      <c r="B9" s="5" t="s">
        <v>13</v>
      </c>
      <c r="C9" s="4" t="s">
        <v>34</v>
      </c>
      <c r="D9" s="5" t="s">
        <v>15</v>
      </c>
      <c r="E9" s="5" t="s">
        <v>35</v>
      </c>
      <c r="F9" s="5" t="s">
        <v>36</v>
      </c>
      <c r="G9" s="5" t="s">
        <v>37</v>
      </c>
      <c r="H9" s="8" t="s">
        <v>38</v>
      </c>
      <c r="I9" s="7" t="n">
        <v>8</v>
      </c>
      <c r="J9" s="4" t="s">
        <v>20</v>
      </c>
    </row>
    <row r="10" customFormat="false" ht="35.05" hidden="false" customHeight="false" outlineLevel="0" collapsed="false">
      <c r="A10" s="4" t="s">
        <v>39</v>
      </c>
      <c r="B10" s="5" t="s">
        <v>40</v>
      </c>
      <c r="C10" s="4" t="s">
        <v>41</v>
      </c>
      <c r="D10" s="5" t="s">
        <v>30</v>
      </c>
      <c r="E10" s="5" t="s">
        <v>42</v>
      </c>
      <c r="F10" s="5" t="s">
        <v>43</v>
      </c>
      <c r="G10" s="5" t="s">
        <v>44</v>
      </c>
      <c r="H10" s="6" t="s">
        <v>19</v>
      </c>
      <c r="I10" s="7" t="n">
        <v>5</v>
      </c>
      <c r="J10" s="4" t="s">
        <v>20</v>
      </c>
    </row>
    <row r="11" customFormat="false" ht="35.05" hidden="false" customHeight="false" outlineLevel="0" collapsed="false">
      <c r="A11" s="4" t="s">
        <v>39</v>
      </c>
      <c r="B11" s="5" t="s">
        <v>40</v>
      </c>
      <c r="C11" s="4" t="s">
        <v>45</v>
      </c>
      <c r="D11" s="5" t="s">
        <v>30</v>
      </c>
      <c r="E11" s="5" t="s">
        <v>46</v>
      </c>
      <c r="F11" s="5" t="s">
        <v>47</v>
      </c>
      <c r="G11" s="5" t="s">
        <v>48</v>
      </c>
      <c r="H11" s="6" t="s">
        <v>19</v>
      </c>
      <c r="I11" s="7" t="n">
        <v>8</v>
      </c>
      <c r="J11" s="4" t="s">
        <v>20</v>
      </c>
    </row>
    <row r="12" customFormat="false" ht="23.85" hidden="false" customHeight="false" outlineLevel="0" collapsed="false">
      <c r="A12" s="4" t="s">
        <v>39</v>
      </c>
      <c r="B12" s="5" t="s">
        <v>40</v>
      </c>
      <c r="C12" s="4" t="s">
        <v>49</v>
      </c>
      <c r="D12" s="5" t="s">
        <v>50</v>
      </c>
      <c r="E12" s="5" t="s">
        <v>51</v>
      </c>
      <c r="F12" s="5" t="s">
        <v>52</v>
      </c>
      <c r="G12" s="5" t="s">
        <v>53</v>
      </c>
      <c r="H12" s="6" t="s">
        <v>19</v>
      </c>
      <c r="I12" s="7" t="n">
        <v>3</v>
      </c>
      <c r="J12" s="4" t="s">
        <v>20</v>
      </c>
    </row>
    <row r="13" customFormat="false" ht="23.85" hidden="false" customHeight="false" outlineLevel="0" collapsed="false">
      <c r="A13" s="4" t="s">
        <v>39</v>
      </c>
      <c r="B13" s="5" t="s">
        <v>40</v>
      </c>
      <c r="C13" s="4" t="s">
        <v>54</v>
      </c>
      <c r="D13" s="5" t="s">
        <v>50</v>
      </c>
      <c r="E13" s="5" t="s">
        <v>55</v>
      </c>
      <c r="F13" s="5" t="s">
        <v>56</v>
      </c>
      <c r="G13" s="5" t="s">
        <v>57</v>
      </c>
      <c r="H13" s="6" t="s">
        <v>19</v>
      </c>
      <c r="I13" s="7" t="n">
        <v>3</v>
      </c>
      <c r="J13" s="4" t="s">
        <v>20</v>
      </c>
    </row>
    <row r="14" customFormat="false" ht="35.05" hidden="false" customHeight="false" outlineLevel="0" collapsed="false">
      <c r="A14" s="4" t="s">
        <v>39</v>
      </c>
      <c r="B14" s="5" t="s">
        <v>40</v>
      </c>
      <c r="C14" s="4" t="s">
        <v>58</v>
      </c>
      <c r="D14" s="5" t="s">
        <v>59</v>
      </c>
      <c r="E14" s="5" t="s">
        <v>60</v>
      </c>
      <c r="F14" s="5" t="s">
        <v>61</v>
      </c>
      <c r="G14" s="5" t="s">
        <v>62</v>
      </c>
      <c r="H14" s="8" t="s">
        <v>38</v>
      </c>
      <c r="I14" s="7" t="n">
        <v>8</v>
      </c>
      <c r="J14" s="4" t="s">
        <v>20</v>
      </c>
    </row>
    <row r="15" customFormat="false" ht="23.85" hidden="false" customHeight="false" outlineLevel="0" collapsed="false">
      <c r="A15" s="4" t="s">
        <v>39</v>
      </c>
      <c r="B15" s="5" t="s">
        <v>40</v>
      </c>
      <c r="C15" s="4" t="s">
        <v>63</v>
      </c>
      <c r="D15" s="5" t="s">
        <v>64</v>
      </c>
      <c r="E15" s="5" t="s">
        <v>65</v>
      </c>
      <c r="F15" s="5" t="s">
        <v>66</v>
      </c>
      <c r="G15" s="5" t="s">
        <v>67</v>
      </c>
      <c r="H15" s="9" t="s">
        <v>68</v>
      </c>
      <c r="I15" s="7" t="n">
        <v>5</v>
      </c>
      <c r="J15" s="4" t="s">
        <v>20</v>
      </c>
    </row>
    <row r="16" customFormat="false" ht="35.05" hidden="false" customHeight="false" outlineLevel="0" collapsed="false">
      <c r="A16" s="4" t="s">
        <v>69</v>
      </c>
      <c r="B16" s="5" t="s">
        <v>70</v>
      </c>
      <c r="C16" s="4" t="s">
        <v>71</v>
      </c>
      <c r="D16" s="5" t="s">
        <v>72</v>
      </c>
      <c r="E16" s="5" t="s">
        <v>73</v>
      </c>
      <c r="F16" s="5" t="s">
        <v>74</v>
      </c>
      <c r="G16" s="5" t="s">
        <v>75</v>
      </c>
      <c r="H16" s="6" t="s">
        <v>19</v>
      </c>
      <c r="I16" s="7" t="n">
        <v>8</v>
      </c>
      <c r="J16" s="4" t="s">
        <v>20</v>
      </c>
    </row>
    <row r="17" customFormat="false" ht="23.85" hidden="false" customHeight="false" outlineLevel="0" collapsed="false">
      <c r="A17" s="4" t="s">
        <v>69</v>
      </c>
      <c r="B17" s="5" t="s">
        <v>70</v>
      </c>
      <c r="C17" s="4" t="s">
        <v>76</v>
      </c>
      <c r="D17" s="5" t="s">
        <v>50</v>
      </c>
      <c r="E17" s="5" t="s">
        <v>77</v>
      </c>
      <c r="F17" s="5" t="s">
        <v>78</v>
      </c>
      <c r="G17" s="5" t="s">
        <v>79</v>
      </c>
      <c r="H17" s="8" t="s">
        <v>38</v>
      </c>
      <c r="I17" s="7" t="n">
        <v>5</v>
      </c>
      <c r="J17" s="4" t="s">
        <v>20</v>
      </c>
    </row>
    <row r="18" customFormat="false" ht="15" hidden="false" customHeight="false" outlineLevel="0" collapsed="false">
      <c r="A18" s="4" t="s">
        <v>69</v>
      </c>
      <c r="B18" s="5" t="s">
        <v>70</v>
      </c>
      <c r="C18" s="4" t="s">
        <v>80</v>
      </c>
      <c r="D18" s="5" t="s">
        <v>30</v>
      </c>
      <c r="E18" s="5" t="s">
        <v>81</v>
      </c>
      <c r="F18" s="5" t="s">
        <v>82</v>
      </c>
      <c r="G18" s="5" t="s">
        <v>83</v>
      </c>
      <c r="H18" s="9" t="s">
        <v>68</v>
      </c>
      <c r="I18" s="7" t="n">
        <v>3</v>
      </c>
      <c r="J18" s="4" t="s">
        <v>20</v>
      </c>
    </row>
    <row r="19" customFormat="false" ht="35.05" hidden="false" customHeight="false" outlineLevel="0" collapsed="false">
      <c r="A19" s="4" t="s">
        <v>69</v>
      </c>
      <c r="B19" s="5" t="s">
        <v>70</v>
      </c>
      <c r="C19" s="4" t="s">
        <v>84</v>
      </c>
      <c r="D19" s="5" t="s">
        <v>30</v>
      </c>
      <c r="E19" s="5" t="s">
        <v>85</v>
      </c>
      <c r="F19" s="5" t="s">
        <v>86</v>
      </c>
      <c r="G19" s="5" t="s">
        <v>87</v>
      </c>
      <c r="H19" s="9" t="s">
        <v>68</v>
      </c>
      <c r="I19" s="7" t="n">
        <v>5</v>
      </c>
      <c r="J19" s="4" t="s">
        <v>20</v>
      </c>
    </row>
    <row r="20" customFormat="false" ht="23.85" hidden="false" customHeight="false" outlineLevel="0" collapsed="false">
      <c r="A20" s="4" t="s">
        <v>69</v>
      </c>
      <c r="B20" s="5" t="s">
        <v>70</v>
      </c>
      <c r="C20" s="4" t="s">
        <v>88</v>
      </c>
      <c r="D20" s="5" t="s">
        <v>72</v>
      </c>
      <c r="E20" s="5" t="s">
        <v>89</v>
      </c>
      <c r="F20" s="5" t="s">
        <v>90</v>
      </c>
      <c r="G20" s="5" t="s">
        <v>91</v>
      </c>
      <c r="H20" s="8" t="s">
        <v>38</v>
      </c>
      <c r="I20" s="7" t="n">
        <v>3</v>
      </c>
      <c r="J20" s="4" t="s">
        <v>20</v>
      </c>
    </row>
    <row r="21" customFormat="false" ht="23.85" hidden="false" customHeight="false" outlineLevel="0" collapsed="false">
      <c r="A21" s="4" t="s">
        <v>69</v>
      </c>
      <c r="B21" s="5" t="s">
        <v>70</v>
      </c>
      <c r="C21" s="4" t="s">
        <v>92</v>
      </c>
      <c r="D21" s="5" t="s">
        <v>50</v>
      </c>
      <c r="E21" s="5" t="s">
        <v>93</v>
      </c>
      <c r="F21" s="5" t="s">
        <v>94</v>
      </c>
      <c r="G21" s="5" t="s">
        <v>95</v>
      </c>
      <c r="H21" s="8" t="s">
        <v>38</v>
      </c>
      <c r="I21" s="7" t="n">
        <v>2</v>
      </c>
      <c r="J21" s="4" t="s">
        <v>20</v>
      </c>
    </row>
    <row r="22" customFormat="false" ht="23.85" hidden="false" customHeight="false" outlineLevel="0" collapsed="false">
      <c r="A22" s="4" t="s">
        <v>96</v>
      </c>
      <c r="B22" s="5" t="s">
        <v>97</v>
      </c>
      <c r="C22" s="4" t="s">
        <v>98</v>
      </c>
      <c r="D22" s="5" t="s">
        <v>99</v>
      </c>
      <c r="E22" s="5" t="s">
        <v>100</v>
      </c>
      <c r="F22" s="5" t="s">
        <v>101</v>
      </c>
      <c r="G22" s="5" t="s">
        <v>102</v>
      </c>
      <c r="H22" s="6" t="s">
        <v>19</v>
      </c>
      <c r="I22" s="7" t="n">
        <v>8</v>
      </c>
      <c r="J22" s="4" t="s">
        <v>20</v>
      </c>
    </row>
    <row r="23" customFormat="false" ht="23.85" hidden="false" customHeight="false" outlineLevel="0" collapsed="false">
      <c r="A23" s="4" t="s">
        <v>96</v>
      </c>
      <c r="B23" s="5" t="s">
        <v>97</v>
      </c>
      <c r="C23" s="4" t="s">
        <v>103</v>
      </c>
      <c r="D23" s="5" t="s">
        <v>30</v>
      </c>
      <c r="E23" s="5" t="s">
        <v>104</v>
      </c>
      <c r="F23" s="5" t="s">
        <v>105</v>
      </c>
      <c r="G23" s="5" t="s">
        <v>106</v>
      </c>
      <c r="H23" s="6" t="s">
        <v>19</v>
      </c>
      <c r="I23" s="7" t="n">
        <v>5</v>
      </c>
      <c r="J23" s="4" t="s">
        <v>20</v>
      </c>
    </row>
    <row r="24" customFormat="false" ht="23.85" hidden="false" customHeight="false" outlineLevel="0" collapsed="false">
      <c r="A24" s="4" t="s">
        <v>96</v>
      </c>
      <c r="B24" s="5" t="s">
        <v>97</v>
      </c>
      <c r="C24" s="4" t="s">
        <v>107</v>
      </c>
      <c r="D24" s="5" t="s">
        <v>99</v>
      </c>
      <c r="E24" s="5" t="s">
        <v>108</v>
      </c>
      <c r="F24" s="5" t="s">
        <v>109</v>
      </c>
      <c r="G24" s="5" t="s">
        <v>110</v>
      </c>
      <c r="H24" s="8" t="s">
        <v>38</v>
      </c>
      <c r="I24" s="7" t="n">
        <v>8</v>
      </c>
      <c r="J24" s="4" t="s">
        <v>20</v>
      </c>
    </row>
    <row r="25" customFormat="false" ht="15" hidden="false" customHeight="false" outlineLevel="0" collapsed="false">
      <c r="A25" s="4" t="s">
        <v>96</v>
      </c>
      <c r="B25" s="5" t="s">
        <v>97</v>
      </c>
      <c r="C25" s="4" t="s">
        <v>111</v>
      </c>
      <c r="D25" s="5" t="s">
        <v>30</v>
      </c>
      <c r="E25" s="5" t="s">
        <v>112</v>
      </c>
      <c r="F25" s="5" t="s">
        <v>113</v>
      </c>
      <c r="G25" s="5" t="s">
        <v>114</v>
      </c>
      <c r="H25" s="8" t="s">
        <v>38</v>
      </c>
      <c r="I25" s="7" t="n">
        <v>3</v>
      </c>
      <c r="J25" s="4" t="s">
        <v>20</v>
      </c>
    </row>
    <row r="26" customFormat="false" ht="15" hidden="false" customHeight="false" outlineLevel="0" collapsed="false">
      <c r="A26" s="4" t="s">
        <v>96</v>
      </c>
      <c r="B26" s="5" t="s">
        <v>97</v>
      </c>
      <c r="C26" s="4" t="s">
        <v>115</v>
      </c>
      <c r="D26" s="5" t="s">
        <v>30</v>
      </c>
      <c r="E26" s="5" t="s">
        <v>116</v>
      </c>
      <c r="F26" s="5" t="s">
        <v>117</v>
      </c>
      <c r="G26" s="5" t="s">
        <v>118</v>
      </c>
      <c r="H26" s="9" t="s">
        <v>68</v>
      </c>
      <c r="I26" s="7" t="n">
        <v>5</v>
      </c>
      <c r="J26" s="4" t="s">
        <v>20</v>
      </c>
    </row>
    <row r="27" customFormat="false" ht="23.85" hidden="false" customHeight="false" outlineLevel="0" collapsed="false">
      <c r="A27" s="4" t="s">
        <v>96</v>
      </c>
      <c r="B27" s="5" t="s">
        <v>97</v>
      </c>
      <c r="C27" s="4" t="s">
        <v>119</v>
      </c>
      <c r="D27" s="5" t="s">
        <v>30</v>
      </c>
      <c r="E27" s="5" t="s">
        <v>120</v>
      </c>
      <c r="F27" s="5" t="s">
        <v>121</v>
      </c>
      <c r="G27" s="5" t="s">
        <v>122</v>
      </c>
      <c r="H27" s="8" t="s">
        <v>38</v>
      </c>
      <c r="I27" s="7" t="n">
        <v>3</v>
      </c>
      <c r="J27" s="4" t="s">
        <v>20</v>
      </c>
    </row>
    <row r="28" customFormat="false" ht="23.85" hidden="false" customHeight="false" outlineLevel="0" collapsed="false">
      <c r="A28" s="4" t="s">
        <v>96</v>
      </c>
      <c r="B28" s="5" t="s">
        <v>97</v>
      </c>
      <c r="C28" s="4" t="s">
        <v>123</v>
      </c>
      <c r="D28" s="5" t="s">
        <v>30</v>
      </c>
      <c r="E28" s="5" t="s">
        <v>124</v>
      </c>
      <c r="F28" s="5" t="s">
        <v>125</v>
      </c>
      <c r="G28" s="5" t="s">
        <v>126</v>
      </c>
      <c r="H28" s="8" t="s">
        <v>38</v>
      </c>
      <c r="I28" s="7" t="n">
        <v>8</v>
      </c>
      <c r="J28" s="4" t="s">
        <v>20</v>
      </c>
    </row>
    <row r="29" customFormat="false" ht="23.85" hidden="false" customHeight="false" outlineLevel="0" collapsed="false">
      <c r="A29" s="4" t="s">
        <v>127</v>
      </c>
      <c r="B29" s="5" t="s">
        <v>128</v>
      </c>
      <c r="C29" s="4" t="s">
        <v>129</v>
      </c>
      <c r="D29" s="5" t="s">
        <v>30</v>
      </c>
      <c r="E29" s="5" t="s">
        <v>130</v>
      </c>
      <c r="F29" s="5" t="s">
        <v>131</v>
      </c>
      <c r="G29" s="5" t="s">
        <v>132</v>
      </c>
      <c r="H29" s="6" t="s">
        <v>19</v>
      </c>
      <c r="I29" s="7" t="n">
        <v>5</v>
      </c>
      <c r="J29" s="4" t="s">
        <v>20</v>
      </c>
    </row>
    <row r="30" customFormat="false" ht="23.85" hidden="false" customHeight="false" outlineLevel="0" collapsed="false">
      <c r="A30" s="4" t="s">
        <v>127</v>
      </c>
      <c r="B30" s="5" t="s">
        <v>128</v>
      </c>
      <c r="C30" s="4" t="s">
        <v>133</v>
      </c>
      <c r="D30" s="5" t="s">
        <v>50</v>
      </c>
      <c r="E30" s="5" t="s">
        <v>134</v>
      </c>
      <c r="F30" s="5" t="s">
        <v>135</v>
      </c>
      <c r="G30" s="5" t="s">
        <v>136</v>
      </c>
      <c r="H30" s="8" t="s">
        <v>38</v>
      </c>
      <c r="I30" s="7" t="n">
        <v>8</v>
      </c>
      <c r="J30" s="4" t="s">
        <v>20</v>
      </c>
    </row>
    <row r="31" customFormat="false" ht="23.85" hidden="false" customHeight="false" outlineLevel="0" collapsed="false">
      <c r="A31" s="4" t="s">
        <v>127</v>
      </c>
      <c r="B31" s="5" t="s">
        <v>128</v>
      </c>
      <c r="C31" s="4" t="s">
        <v>137</v>
      </c>
      <c r="D31" s="5" t="s">
        <v>30</v>
      </c>
      <c r="E31" s="5" t="s">
        <v>138</v>
      </c>
      <c r="F31" s="5" t="s">
        <v>139</v>
      </c>
      <c r="G31" s="5" t="s">
        <v>140</v>
      </c>
      <c r="H31" s="9" t="s">
        <v>68</v>
      </c>
      <c r="I31" s="7" t="n">
        <v>5</v>
      </c>
      <c r="J31" s="4" t="s">
        <v>20</v>
      </c>
    </row>
    <row r="32" customFormat="false" ht="23.85" hidden="false" customHeight="false" outlineLevel="0" collapsed="false">
      <c r="A32" s="4" t="s">
        <v>127</v>
      </c>
      <c r="B32" s="5" t="s">
        <v>128</v>
      </c>
      <c r="C32" s="4" t="s">
        <v>141</v>
      </c>
      <c r="D32" s="5" t="s">
        <v>64</v>
      </c>
      <c r="E32" s="5" t="s">
        <v>142</v>
      </c>
      <c r="F32" s="5" t="s">
        <v>143</v>
      </c>
      <c r="G32" s="5" t="s">
        <v>144</v>
      </c>
      <c r="H32" s="8" t="s">
        <v>38</v>
      </c>
      <c r="I32" s="7" t="n">
        <v>3</v>
      </c>
      <c r="J32" s="4" t="s">
        <v>20</v>
      </c>
    </row>
    <row r="33" customFormat="false" ht="15" hidden="false" customHeight="false" outlineLevel="0" collapsed="false">
      <c r="A33" s="4" t="s">
        <v>145</v>
      </c>
      <c r="B33" s="5" t="s">
        <v>146</v>
      </c>
      <c r="C33" s="4" t="s">
        <v>147</v>
      </c>
      <c r="D33" s="5" t="s">
        <v>148</v>
      </c>
      <c r="E33" s="5" t="s">
        <v>149</v>
      </c>
      <c r="F33" s="5" t="s">
        <v>150</v>
      </c>
      <c r="G33" s="5" t="s">
        <v>151</v>
      </c>
      <c r="H33" s="6" t="s">
        <v>19</v>
      </c>
      <c r="I33" s="7" t="n">
        <v>5</v>
      </c>
      <c r="J33" s="4" t="s">
        <v>20</v>
      </c>
    </row>
    <row r="34" customFormat="false" ht="15" hidden="false" customHeight="false" outlineLevel="0" collapsed="false">
      <c r="A34" s="4" t="s">
        <v>145</v>
      </c>
      <c r="B34" s="5" t="s">
        <v>146</v>
      </c>
      <c r="C34" s="4" t="s">
        <v>152</v>
      </c>
      <c r="D34" s="5" t="s">
        <v>153</v>
      </c>
      <c r="E34" s="5" t="s">
        <v>154</v>
      </c>
      <c r="F34" s="5" t="s">
        <v>155</v>
      </c>
      <c r="G34" s="5" t="s">
        <v>151</v>
      </c>
      <c r="H34" s="6" t="s">
        <v>19</v>
      </c>
      <c r="I34" s="7" t="n">
        <v>3</v>
      </c>
      <c r="J34" s="4" t="s">
        <v>20</v>
      </c>
    </row>
    <row r="35" customFormat="false" ht="15" hidden="false" customHeight="false" outlineLevel="0" collapsed="false">
      <c r="A35" s="4" t="s">
        <v>145</v>
      </c>
      <c r="B35" s="5" t="s">
        <v>146</v>
      </c>
      <c r="C35" s="4" t="s">
        <v>156</v>
      </c>
      <c r="D35" s="5" t="s">
        <v>30</v>
      </c>
      <c r="E35" s="5" t="s">
        <v>157</v>
      </c>
      <c r="F35" s="5" t="s">
        <v>158</v>
      </c>
      <c r="G35" s="5" t="s">
        <v>159</v>
      </c>
      <c r="H35" s="8" t="s">
        <v>38</v>
      </c>
      <c r="I35" s="7" t="n">
        <v>3</v>
      </c>
      <c r="J35" s="4" t="s">
        <v>20</v>
      </c>
    </row>
    <row r="36" customFormat="false" ht="15" hidden="false" customHeight="false" outlineLevel="0" collapsed="false">
      <c r="A36" s="4" t="s">
        <v>145</v>
      </c>
      <c r="B36" s="5" t="s">
        <v>146</v>
      </c>
      <c r="C36" s="4" t="s">
        <v>160</v>
      </c>
      <c r="D36" s="5" t="s">
        <v>30</v>
      </c>
      <c r="E36" s="5" t="s">
        <v>161</v>
      </c>
      <c r="F36" s="5" t="s">
        <v>162</v>
      </c>
      <c r="G36" s="5" t="s">
        <v>163</v>
      </c>
      <c r="H36" s="8" t="s">
        <v>38</v>
      </c>
      <c r="I36" s="7" t="n">
        <v>2</v>
      </c>
      <c r="J36" s="4" t="s">
        <v>20</v>
      </c>
    </row>
    <row r="37" customFormat="false" ht="15" hidden="false" customHeight="false" outlineLevel="0" collapsed="false">
      <c r="A37" s="4" t="s">
        <v>145</v>
      </c>
      <c r="B37" s="5" t="s">
        <v>146</v>
      </c>
      <c r="C37" s="4" t="s">
        <v>164</v>
      </c>
      <c r="D37" s="5" t="s">
        <v>99</v>
      </c>
      <c r="E37" s="5" t="s">
        <v>165</v>
      </c>
      <c r="F37" s="5" t="s">
        <v>166</v>
      </c>
      <c r="G37" s="5" t="s">
        <v>167</v>
      </c>
      <c r="H37" s="8" t="s">
        <v>38</v>
      </c>
      <c r="I37" s="7" t="n">
        <v>3</v>
      </c>
      <c r="J37" s="4" t="s">
        <v>20</v>
      </c>
    </row>
    <row r="38" customFormat="false" ht="15" hidden="false" customHeight="false" outlineLevel="0" collapsed="false">
      <c r="A38" s="4" t="s">
        <v>145</v>
      </c>
      <c r="B38" s="5" t="s">
        <v>146</v>
      </c>
      <c r="C38" s="4" t="s">
        <v>168</v>
      </c>
      <c r="D38" s="5" t="s">
        <v>99</v>
      </c>
      <c r="E38" s="5" t="s">
        <v>169</v>
      </c>
      <c r="F38" s="5" t="s">
        <v>170</v>
      </c>
      <c r="G38" s="5" t="s">
        <v>171</v>
      </c>
      <c r="H38" s="8" t="s">
        <v>38</v>
      </c>
      <c r="I38" s="7" t="n">
        <v>2</v>
      </c>
      <c r="J38" s="4" t="s">
        <v>20</v>
      </c>
    </row>
    <row r="39" customFormat="false" ht="23.85" hidden="false" customHeight="false" outlineLevel="0" collapsed="false">
      <c r="A39" s="4" t="s">
        <v>172</v>
      </c>
      <c r="B39" s="5" t="s">
        <v>173</v>
      </c>
      <c r="C39" s="4" t="s">
        <v>174</v>
      </c>
      <c r="D39" s="5" t="s">
        <v>15</v>
      </c>
      <c r="E39" s="5" t="s">
        <v>175</v>
      </c>
      <c r="F39" s="5" t="s">
        <v>176</v>
      </c>
      <c r="G39" s="5" t="s">
        <v>177</v>
      </c>
      <c r="H39" s="8" t="s">
        <v>38</v>
      </c>
      <c r="I39" s="7" t="n">
        <v>8</v>
      </c>
      <c r="J39" s="4" t="s">
        <v>20</v>
      </c>
    </row>
    <row r="40" customFormat="false" ht="23.85" hidden="false" customHeight="false" outlineLevel="0" collapsed="false">
      <c r="A40" s="4" t="s">
        <v>172</v>
      </c>
      <c r="B40" s="5" t="s">
        <v>173</v>
      </c>
      <c r="C40" s="4" t="s">
        <v>178</v>
      </c>
      <c r="D40" s="5" t="s">
        <v>179</v>
      </c>
      <c r="E40" s="5" t="s">
        <v>180</v>
      </c>
      <c r="F40" s="5" t="s">
        <v>181</v>
      </c>
      <c r="G40" s="5" t="s">
        <v>37</v>
      </c>
      <c r="H40" s="8" t="s">
        <v>38</v>
      </c>
      <c r="I40" s="7" t="n">
        <v>8</v>
      </c>
      <c r="J40" s="4" t="s">
        <v>20</v>
      </c>
    </row>
    <row r="41" customFormat="false" ht="23.85" hidden="false" customHeight="false" outlineLevel="0" collapsed="false">
      <c r="A41" s="4" t="s">
        <v>172</v>
      </c>
      <c r="B41" s="5" t="s">
        <v>173</v>
      </c>
      <c r="C41" s="4" t="s">
        <v>182</v>
      </c>
      <c r="D41" s="5" t="s">
        <v>15</v>
      </c>
      <c r="E41" s="5" t="s">
        <v>183</v>
      </c>
      <c r="F41" s="5" t="s">
        <v>184</v>
      </c>
      <c r="G41" s="5" t="s">
        <v>185</v>
      </c>
      <c r="H41" s="8" t="s">
        <v>38</v>
      </c>
      <c r="I41" s="7" t="n">
        <v>5</v>
      </c>
      <c r="J41" s="4" t="s">
        <v>20</v>
      </c>
    </row>
    <row r="42" customFormat="false" ht="15" hidden="false" customHeight="false" outlineLevel="0" collapsed="false">
      <c r="A42" s="4" t="s">
        <v>172</v>
      </c>
      <c r="B42" s="5" t="s">
        <v>173</v>
      </c>
      <c r="C42" s="4" t="s">
        <v>186</v>
      </c>
      <c r="D42" s="5" t="s">
        <v>187</v>
      </c>
      <c r="E42" s="5" t="s">
        <v>188</v>
      </c>
      <c r="F42" s="5" t="s">
        <v>189</v>
      </c>
      <c r="G42" s="5" t="s">
        <v>190</v>
      </c>
      <c r="H42" s="9" t="s">
        <v>68</v>
      </c>
      <c r="I42" s="7" t="n">
        <v>3</v>
      </c>
      <c r="J42" s="4" t="s">
        <v>20</v>
      </c>
    </row>
    <row r="43" customFormat="false" ht="23.85" hidden="false" customHeight="false" outlineLevel="0" collapsed="false">
      <c r="A43" s="4" t="s">
        <v>172</v>
      </c>
      <c r="B43" s="5" t="s">
        <v>173</v>
      </c>
      <c r="C43" s="4" t="s">
        <v>191</v>
      </c>
      <c r="D43" s="5" t="s">
        <v>50</v>
      </c>
      <c r="E43" s="5" t="s">
        <v>192</v>
      </c>
      <c r="F43" s="5" t="s">
        <v>193</v>
      </c>
      <c r="G43" s="5" t="s">
        <v>194</v>
      </c>
      <c r="H43" s="8" t="s">
        <v>38</v>
      </c>
      <c r="I43" s="7" t="n">
        <v>2</v>
      </c>
      <c r="J43" s="4" t="s">
        <v>20</v>
      </c>
    </row>
    <row r="44" customFormat="false" ht="15" hidden="false" customHeight="false" outlineLevel="0" collapsed="false">
      <c r="A44" s="4" t="s">
        <v>172</v>
      </c>
      <c r="B44" s="5" t="s">
        <v>173</v>
      </c>
      <c r="C44" s="4" t="s">
        <v>195</v>
      </c>
      <c r="D44" s="5" t="s">
        <v>196</v>
      </c>
      <c r="E44" s="5" t="s">
        <v>197</v>
      </c>
      <c r="F44" s="5" t="s">
        <v>198</v>
      </c>
      <c r="G44" s="5" t="s">
        <v>199</v>
      </c>
      <c r="H44" s="9" t="s">
        <v>68</v>
      </c>
      <c r="I44" s="7" t="n">
        <v>2</v>
      </c>
      <c r="J44" s="4" t="s">
        <v>20</v>
      </c>
    </row>
    <row r="45" customFormat="false" ht="15" hidden="false" customHeight="false" outlineLevel="0" collapsed="false">
      <c r="A45" s="4" t="s">
        <v>200</v>
      </c>
      <c r="B45" s="5" t="s">
        <v>201</v>
      </c>
      <c r="C45" s="4" t="s">
        <v>202</v>
      </c>
      <c r="D45" s="5" t="s">
        <v>99</v>
      </c>
      <c r="E45" s="5" t="s">
        <v>203</v>
      </c>
      <c r="F45" s="5" t="s">
        <v>204</v>
      </c>
      <c r="G45" s="5" t="s">
        <v>205</v>
      </c>
      <c r="H45" s="8" t="s">
        <v>38</v>
      </c>
      <c r="I45" s="7" t="n">
        <v>8</v>
      </c>
      <c r="J45" s="4" t="s">
        <v>20</v>
      </c>
    </row>
    <row r="46" customFormat="false" ht="23.85" hidden="false" customHeight="false" outlineLevel="0" collapsed="false">
      <c r="A46" s="4" t="s">
        <v>200</v>
      </c>
      <c r="B46" s="5" t="s">
        <v>201</v>
      </c>
      <c r="C46" s="4" t="s">
        <v>206</v>
      </c>
      <c r="D46" s="5" t="s">
        <v>207</v>
      </c>
      <c r="E46" s="5" t="s">
        <v>208</v>
      </c>
      <c r="F46" s="5" t="s">
        <v>209</v>
      </c>
      <c r="G46" s="5" t="s">
        <v>205</v>
      </c>
      <c r="H46" s="9" t="s">
        <v>68</v>
      </c>
      <c r="I46" s="7" t="n">
        <v>8</v>
      </c>
      <c r="J46" s="4" t="s">
        <v>20</v>
      </c>
    </row>
    <row r="47" customFormat="false" ht="15" hidden="false" customHeight="false" outlineLevel="0" collapsed="false">
      <c r="A47" s="4" t="s">
        <v>200</v>
      </c>
      <c r="B47" s="5" t="s">
        <v>201</v>
      </c>
      <c r="C47" s="4" t="s">
        <v>210</v>
      </c>
      <c r="D47" s="5" t="s">
        <v>153</v>
      </c>
      <c r="E47" s="5" t="s">
        <v>211</v>
      </c>
      <c r="F47" s="5" t="s">
        <v>212</v>
      </c>
      <c r="G47" s="5" t="s">
        <v>213</v>
      </c>
      <c r="H47" s="9" t="s">
        <v>68</v>
      </c>
      <c r="I47" s="7" t="n">
        <v>5</v>
      </c>
      <c r="J47" s="4" t="s">
        <v>20</v>
      </c>
    </row>
    <row r="48" customFormat="false" ht="23.85" hidden="false" customHeight="false" outlineLevel="0" collapsed="false">
      <c r="A48" s="4" t="s">
        <v>214</v>
      </c>
      <c r="B48" s="5" t="s">
        <v>215</v>
      </c>
      <c r="C48" s="4" t="s">
        <v>216</v>
      </c>
      <c r="D48" s="5" t="s">
        <v>217</v>
      </c>
      <c r="E48" s="5" t="s">
        <v>218</v>
      </c>
      <c r="F48" s="5" t="s">
        <v>219</v>
      </c>
      <c r="G48" s="5" t="s">
        <v>220</v>
      </c>
      <c r="H48" s="6" t="s">
        <v>19</v>
      </c>
      <c r="I48" s="7" t="n">
        <v>5</v>
      </c>
      <c r="J48" s="4" t="s">
        <v>20</v>
      </c>
    </row>
    <row r="49" customFormat="false" ht="15" hidden="false" customHeight="false" outlineLevel="0" collapsed="false">
      <c r="A49" s="4" t="s">
        <v>214</v>
      </c>
      <c r="B49" s="5" t="s">
        <v>215</v>
      </c>
      <c r="C49" s="4" t="s">
        <v>221</v>
      </c>
      <c r="D49" s="5" t="s">
        <v>217</v>
      </c>
      <c r="E49" s="5" t="s">
        <v>222</v>
      </c>
      <c r="F49" s="5" t="s">
        <v>223</v>
      </c>
      <c r="G49" s="5" t="s">
        <v>224</v>
      </c>
      <c r="H49" s="6" t="s">
        <v>19</v>
      </c>
      <c r="I49" s="7" t="n">
        <v>3</v>
      </c>
      <c r="J49" s="4" t="s">
        <v>20</v>
      </c>
    </row>
    <row r="50" customFormat="false" ht="15" hidden="false" customHeight="false" outlineLevel="0" collapsed="false">
      <c r="A50" s="4" t="s">
        <v>214</v>
      </c>
      <c r="B50" s="5" t="s">
        <v>215</v>
      </c>
      <c r="C50" s="4" t="s">
        <v>225</v>
      </c>
      <c r="D50" s="5" t="s">
        <v>99</v>
      </c>
      <c r="E50" s="5" t="s">
        <v>226</v>
      </c>
      <c r="F50" s="5" t="s">
        <v>227</v>
      </c>
      <c r="G50" s="5" t="s">
        <v>228</v>
      </c>
      <c r="H50" s="6" t="s">
        <v>19</v>
      </c>
      <c r="I50" s="7" t="n">
        <v>2</v>
      </c>
      <c r="J50" s="4" t="s">
        <v>20</v>
      </c>
    </row>
    <row r="51" customFormat="false" ht="15" hidden="false" customHeight="false" outlineLevel="0" collapsed="false">
      <c r="A51" s="4" t="s">
        <v>214</v>
      </c>
      <c r="B51" s="5" t="s">
        <v>215</v>
      </c>
      <c r="C51" s="4" t="s">
        <v>229</v>
      </c>
      <c r="D51" s="5" t="s">
        <v>99</v>
      </c>
      <c r="E51" s="5" t="s">
        <v>230</v>
      </c>
      <c r="F51" s="5" t="s">
        <v>231</v>
      </c>
      <c r="G51" s="5" t="s">
        <v>228</v>
      </c>
      <c r="H51" s="8" t="s">
        <v>38</v>
      </c>
      <c r="I51" s="7" t="n">
        <v>2</v>
      </c>
      <c r="J51" s="4" t="s">
        <v>20</v>
      </c>
    </row>
    <row r="52" customFormat="false" ht="23.85" hidden="false" customHeight="false" outlineLevel="0" collapsed="false">
      <c r="A52" s="4" t="s">
        <v>214</v>
      </c>
      <c r="B52" s="5" t="s">
        <v>215</v>
      </c>
      <c r="C52" s="4" t="s">
        <v>232</v>
      </c>
      <c r="D52" s="5" t="s">
        <v>217</v>
      </c>
      <c r="E52" s="5" t="s">
        <v>233</v>
      </c>
      <c r="F52" s="5" t="s">
        <v>234</v>
      </c>
      <c r="G52" s="5" t="s">
        <v>235</v>
      </c>
      <c r="H52" s="8" t="s">
        <v>38</v>
      </c>
      <c r="I52" s="7" t="n">
        <v>2</v>
      </c>
      <c r="J52" s="4" t="s">
        <v>20</v>
      </c>
    </row>
    <row r="53" customFormat="false" ht="15" hidden="false" customHeight="false" outlineLevel="0" collapsed="false">
      <c r="A53" s="4" t="s">
        <v>214</v>
      </c>
      <c r="B53" s="5" t="s">
        <v>215</v>
      </c>
      <c r="C53" s="4" t="s">
        <v>236</v>
      </c>
      <c r="D53" s="5" t="s">
        <v>99</v>
      </c>
      <c r="E53" s="5" t="s">
        <v>237</v>
      </c>
      <c r="F53" s="5" t="s">
        <v>238</v>
      </c>
      <c r="G53" s="5" t="s">
        <v>239</v>
      </c>
      <c r="H53" s="9" t="s">
        <v>68</v>
      </c>
      <c r="I53" s="7" t="n">
        <v>3</v>
      </c>
      <c r="J53" s="4" t="s">
        <v>20</v>
      </c>
    </row>
    <row r="54" customFormat="false" ht="15" hidden="false" customHeight="false" outlineLevel="0" collapsed="false">
      <c r="A54" s="4" t="s">
        <v>214</v>
      </c>
      <c r="B54" s="5" t="s">
        <v>215</v>
      </c>
      <c r="C54" s="4" t="s">
        <v>240</v>
      </c>
      <c r="D54" s="5" t="s">
        <v>99</v>
      </c>
      <c r="E54" s="5" t="s">
        <v>241</v>
      </c>
      <c r="F54" s="5" t="s">
        <v>242</v>
      </c>
      <c r="G54" s="5" t="s">
        <v>243</v>
      </c>
      <c r="H54" s="9" t="s">
        <v>68</v>
      </c>
      <c r="I54" s="7" t="n">
        <v>5</v>
      </c>
      <c r="J54" s="4" t="s">
        <v>20</v>
      </c>
    </row>
  </sheetData>
  <autoFilter ref="A4:J5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4" min="3" style="0" width="9"/>
    <col collapsed="false" customWidth="true" hidden="false" outlineLevel="0" max="8" min="5" style="0" width="10"/>
  </cols>
  <sheetData>
    <row r="1" customFormat="false" ht="16.15" hidden="false" customHeight="false" outlineLevel="0" collapsed="false">
      <c r="A1" s="10" t="s">
        <v>244</v>
      </c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245</v>
      </c>
      <c r="D3" s="3" t="s">
        <v>10</v>
      </c>
      <c r="E3" s="3" t="s">
        <v>246</v>
      </c>
      <c r="F3" s="3" t="s">
        <v>247</v>
      </c>
      <c r="G3" s="3" t="s">
        <v>248</v>
      </c>
      <c r="H3" s="3" t="s">
        <v>249</v>
      </c>
    </row>
    <row r="4" customFormat="false" ht="15" hidden="false" customHeight="false" outlineLevel="0" collapsed="false">
      <c r="A4" s="11" t="s">
        <v>12</v>
      </c>
      <c r="B4" s="11" t="s">
        <v>13</v>
      </c>
      <c r="C4" s="12" t="n">
        <f aca="false">COUNTIF(Backlog!$A$5:$A$54,A4)</f>
        <v>5</v>
      </c>
      <c r="D4" s="12" t="n">
        <f aca="false">SUMIF(Backlog!$A$5:$A$54,A4,Backlog!$I$5:$I$54)</f>
        <v>26</v>
      </c>
      <c r="E4" s="12" t="n">
        <f aca="false">COUNTIFS(Backlog!$A$5:$A$54,A4,Backlog!$H$5:$H$54,"P0")</f>
        <v>4</v>
      </c>
      <c r="F4" s="12" t="n">
        <f aca="false">COUNTIFS(Backlog!$A$5:$A$54,A4,Backlog!$H$5:$H$54,"P1")</f>
        <v>1</v>
      </c>
      <c r="G4" s="12" t="n">
        <f aca="false">COUNTIFS(Backlog!$A$5:$A$54,A4,Backlog!$H$5:$H$54,"P2")</f>
        <v>0</v>
      </c>
      <c r="H4" s="12" t="n">
        <f aca="false">SUMIFS(Backlog!$I$5:$I$54,Backlog!$A$5:$A$54,A4,Backlog!$H$5:$H$54,"P0")</f>
        <v>18</v>
      </c>
    </row>
    <row r="5" customFormat="false" ht="15" hidden="false" customHeight="false" outlineLevel="0" collapsed="false">
      <c r="A5" s="11" t="s">
        <v>39</v>
      </c>
      <c r="B5" s="11" t="s">
        <v>40</v>
      </c>
      <c r="C5" s="12" t="n">
        <f aca="false">COUNTIF(Backlog!$A$5:$A$54,A5)</f>
        <v>6</v>
      </c>
      <c r="D5" s="12" t="n">
        <f aca="false">SUMIF(Backlog!$A$5:$A$54,A5,Backlog!$I$5:$I$54)</f>
        <v>32</v>
      </c>
      <c r="E5" s="12" t="n">
        <f aca="false">COUNTIFS(Backlog!$A$5:$A$54,A5,Backlog!$H$5:$H$54,"P0")</f>
        <v>4</v>
      </c>
      <c r="F5" s="12" t="n">
        <f aca="false">COUNTIFS(Backlog!$A$5:$A$54,A5,Backlog!$H$5:$H$54,"P1")</f>
        <v>1</v>
      </c>
      <c r="G5" s="12" t="n">
        <f aca="false">COUNTIFS(Backlog!$A$5:$A$54,A5,Backlog!$H$5:$H$54,"P2")</f>
        <v>1</v>
      </c>
      <c r="H5" s="12" t="n">
        <f aca="false">SUMIFS(Backlog!$I$5:$I$54,Backlog!$A$5:$A$54,A5,Backlog!$H$5:$H$54,"P0")</f>
        <v>19</v>
      </c>
    </row>
    <row r="6" customFormat="false" ht="15" hidden="false" customHeight="false" outlineLevel="0" collapsed="false">
      <c r="A6" s="11" t="s">
        <v>69</v>
      </c>
      <c r="B6" s="11" t="s">
        <v>70</v>
      </c>
      <c r="C6" s="12" t="n">
        <f aca="false">COUNTIF(Backlog!$A$5:$A$54,A6)</f>
        <v>6</v>
      </c>
      <c r="D6" s="12" t="n">
        <f aca="false">SUMIF(Backlog!$A$5:$A$54,A6,Backlog!$I$5:$I$54)</f>
        <v>26</v>
      </c>
      <c r="E6" s="12" t="n">
        <f aca="false">COUNTIFS(Backlog!$A$5:$A$54,A6,Backlog!$H$5:$H$54,"P0")</f>
        <v>1</v>
      </c>
      <c r="F6" s="12" t="n">
        <f aca="false">COUNTIFS(Backlog!$A$5:$A$54,A6,Backlog!$H$5:$H$54,"P1")</f>
        <v>3</v>
      </c>
      <c r="G6" s="12" t="n">
        <f aca="false">COUNTIFS(Backlog!$A$5:$A$54,A6,Backlog!$H$5:$H$54,"P2")</f>
        <v>2</v>
      </c>
      <c r="H6" s="12" t="n">
        <f aca="false">SUMIFS(Backlog!$I$5:$I$54,Backlog!$A$5:$A$54,A6,Backlog!$H$5:$H$54,"P0")</f>
        <v>8</v>
      </c>
    </row>
    <row r="7" customFormat="false" ht="15" hidden="false" customHeight="false" outlineLevel="0" collapsed="false">
      <c r="A7" s="11" t="s">
        <v>96</v>
      </c>
      <c r="B7" s="11" t="s">
        <v>97</v>
      </c>
      <c r="C7" s="12" t="n">
        <f aca="false">COUNTIF(Backlog!$A$5:$A$54,A7)</f>
        <v>7</v>
      </c>
      <c r="D7" s="12" t="n">
        <f aca="false">SUMIF(Backlog!$A$5:$A$54,A7,Backlog!$I$5:$I$54)</f>
        <v>40</v>
      </c>
      <c r="E7" s="12" t="n">
        <f aca="false">COUNTIFS(Backlog!$A$5:$A$54,A7,Backlog!$H$5:$H$54,"P0")</f>
        <v>2</v>
      </c>
      <c r="F7" s="12" t="n">
        <f aca="false">COUNTIFS(Backlog!$A$5:$A$54,A7,Backlog!$H$5:$H$54,"P1")</f>
        <v>4</v>
      </c>
      <c r="G7" s="12" t="n">
        <f aca="false">COUNTIFS(Backlog!$A$5:$A$54,A7,Backlog!$H$5:$H$54,"P2")</f>
        <v>1</v>
      </c>
      <c r="H7" s="12" t="n">
        <f aca="false">SUMIFS(Backlog!$I$5:$I$54,Backlog!$A$5:$A$54,A7,Backlog!$H$5:$H$54,"P0")</f>
        <v>13</v>
      </c>
    </row>
    <row r="8" customFormat="false" ht="15" hidden="false" customHeight="false" outlineLevel="0" collapsed="false">
      <c r="A8" s="11" t="s">
        <v>127</v>
      </c>
      <c r="B8" s="11" t="s">
        <v>128</v>
      </c>
      <c r="C8" s="12" t="n">
        <f aca="false">COUNTIF(Backlog!$A$5:$A$54,A8)</f>
        <v>4</v>
      </c>
      <c r="D8" s="12" t="n">
        <f aca="false">SUMIF(Backlog!$A$5:$A$54,A8,Backlog!$I$5:$I$54)</f>
        <v>21</v>
      </c>
      <c r="E8" s="12" t="n">
        <f aca="false">COUNTIFS(Backlog!$A$5:$A$54,A8,Backlog!$H$5:$H$54,"P0")</f>
        <v>1</v>
      </c>
      <c r="F8" s="12" t="n">
        <f aca="false">COUNTIFS(Backlog!$A$5:$A$54,A8,Backlog!$H$5:$H$54,"P1")</f>
        <v>2</v>
      </c>
      <c r="G8" s="12" t="n">
        <f aca="false">COUNTIFS(Backlog!$A$5:$A$54,A8,Backlog!$H$5:$H$54,"P2")</f>
        <v>1</v>
      </c>
      <c r="H8" s="12" t="n">
        <f aca="false">SUMIFS(Backlog!$I$5:$I$54,Backlog!$A$5:$A$54,A8,Backlog!$H$5:$H$54,"P0")</f>
        <v>5</v>
      </c>
    </row>
    <row r="9" customFormat="false" ht="15" hidden="false" customHeight="false" outlineLevel="0" collapsed="false">
      <c r="A9" s="11" t="s">
        <v>145</v>
      </c>
      <c r="B9" s="11" t="s">
        <v>146</v>
      </c>
      <c r="C9" s="12" t="n">
        <f aca="false">COUNTIF(Backlog!$A$5:$A$54,A9)</f>
        <v>6</v>
      </c>
      <c r="D9" s="12" t="n">
        <f aca="false">SUMIF(Backlog!$A$5:$A$54,A9,Backlog!$I$5:$I$54)</f>
        <v>18</v>
      </c>
      <c r="E9" s="12" t="n">
        <f aca="false">COUNTIFS(Backlog!$A$5:$A$54,A9,Backlog!$H$5:$H$54,"P0")</f>
        <v>2</v>
      </c>
      <c r="F9" s="12" t="n">
        <f aca="false">COUNTIFS(Backlog!$A$5:$A$54,A9,Backlog!$H$5:$H$54,"P1")</f>
        <v>4</v>
      </c>
      <c r="G9" s="12" t="n">
        <f aca="false">COUNTIFS(Backlog!$A$5:$A$54,A9,Backlog!$H$5:$H$54,"P2")</f>
        <v>0</v>
      </c>
      <c r="H9" s="12" t="n">
        <f aca="false">SUMIFS(Backlog!$I$5:$I$54,Backlog!$A$5:$A$54,A9,Backlog!$H$5:$H$54,"P0")</f>
        <v>8</v>
      </c>
    </row>
    <row r="10" customFormat="false" ht="15" hidden="false" customHeight="false" outlineLevel="0" collapsed="false">
      <c r="A10" s="11" t="s">
        <v>172</v>
      </c>
      <c r="B10" s="11" t="s">
        <v>173</v>
      </c>
      <c r="C10" s="12" t="n">
        <f aca="false">COUNTIF(Backlog!$A$5:$A$54,A10)</f>
        <v>6</v>
      </c>
      <c r="D10" s="12" t="n">
        <f aca="false">SUMIF(Backlog!$A$5:$A$54,A10,Backlog!$I$5:$I$54)</f>
        <v>28</v>
      </c>
      <c r="E10" s="12" t="n">
        <f aca="false">COUNTIFS(Backlog!$A$5:$A$54,A10,Backlog!$H$5:$H$54,"P0")</f>
        <v>0</v>
      </c>
      <c r="F10" s="12" t="n">
        <f aca="false">COUNTIFS(Backlog!$A$5:$A$54,A10,Backlog!$H$5:$H$54,"P1")</f>
        <v>4</v>
      </c>
      <c r="G10" s="12" t="n">
        <f aca="false">COUNTIFS(Backlog!$A$5:$A$54,A10,Backlog!$H$5:$H$54,"P2")</f>
        <v>2</v>
      </c>
      <c r="H10" s="12" t="n">
        <f aca="false">SUMIFS(Backlog!$I$5:$I$54,Backlog!$A$5:$A$54,A10,Backlog!$H$5:$H$54,"P0")</f>
        <v>0</v>
      </c>
    </row>
    <row r="11" customFormat="false" ht="15" hidden="false" customHeight="false" outlineLevel="0" collapsed="false">
      <c r="A11" s="11" t="s">
        <v>200</v>
      </c>
      <c r="B11" s="11" t="s">
        <v>201</v>
      </c>
      <c r="C11" s="12" t="n">
        <f aca="false">COUNTIF(Backlog!$A$5:$A$54,A11)</f>
        <v>3</v>
      </c>
      <c r="D11" s="12" t="n">
        <f aca="false">SUMIF(Backlog!$A$5:$A$54,A11,Backlog!$I$5:$I$54)</f>
        <v>21</v>
      </c>
      <c r="E11" s="12" t="n">
        <f aca="false">COUNTIFS(Backlog!$A$5:$A$54,A11,Backlog!$H$5:$H$54,"P0")</f>
        <v>0</v>
      </c>
      <c r="F11" s="12" t="n">
        <f aca="false">COUNTIFS(Backlog!$A$5:$A$54,A11,Backlog!$H$5:$H$54,"P1")</f>
        <v>1</v>
      </c>
      <c r="G11" s="12" t="n">
        <f aca="false">COUNTIFS(Backlog!$A$5:$A$54,A11,Backlog!$H$5:$H$54,"P2")</f>
        <v>2</v>
      </c>
      <c r="H11" s="12" t="n">
        <f aca="false">SUMIFS(Backlog!$I$5:$I$54,Backlog!$A$5:$A$54,A11,Backlog!$H$5:$H$54,"P0")</f>
        <v>0</v>
      </c>
    </row>
    <row r="12" customFormat="false" ht="15" hidden="false" customHeight="false" outlineLevel="0" collapsed="false">
      <c r="A12" s="11" t="s">
        <v>214</v>
      </c>
      <c r="B12" s="11" t="s">
        <v>215</v>
      </c>
      <c r="C12" s="12" t="n">
        <f aca="false">COUNTIF(Backlog!$A$5:$A$54,A12)</f>
        <v>7</v>
      </c>
      <c r="D12" s="12" t="n">
        <f aca="false">SUMIF(Backlog!$A$5:$A$54,A12,Backlog!$I$5:$I$54)</f>
        <v>22</v>
      </c>
      <c r="E12" s="12" t="n">
        <f aca="false">COUNTIFS(Backlog!$A$5:$A$54,A12,Backlog!$H$5:$H$54,"P0")</f>
        <v>3</v>
      </c>
      <c r="F12" s="12" t="n">
        <f aca="false">COUNTIFS(Backlog!$A$5:$A$54,A12,Backlog!$H$5:$H$54,"P1")</f>
        <v>2</v>
      </c>
      <c r="G12" s="12" t="n">
        <f aca="false">COUNTIFS(Backlog!$A$5:$A$54,A12,Backlog!$H$5:$H$54,"P2")</f>
        <v>2</v>
      </c>
      <c r="H12" s="12" t="n">
        <f aca="false">SUMIFS(Backlog!$I$5:$I$54,Backlog!$A$5:$A$54,A12,Backlog!$H$5:$H$54,"P0")</f>
        <v>10</v>
      </c>
    </row>
    <row r="13" customFormat="false" ht="15" hidden="false" customHeight="false" outlineLevel="0" collapsed="false">
      <c r="A13" s="13"/>
      <c r="B13" s="14" t="s">
        <v>250</v>
      </c>
      <c r="C13" s="15" t="n">
        <f aca="false">SUM(C4:C12)</f>
        <v>50</v>
      </c>
      <c r="D13" s="15" t="n">
        <f aca="false">SUM(D4:D12)</f>
        <v>234</v>
      </c>
      <c r="E13" s="15" t="n">
        <f aca="false">SUM(E4:E12)</f>
        <v>17</v>
      </c>
      <c r="F13" s="15" t="n">
        <f aca="false">SUM(F4:F12)</f>
        <v>22</v>
      </c>
      <c r="G13" s="15" t="n">
        <f aca="false">SUM(G4:G12)</f>
        <v>11</v>
      </c>
      <c r="H13" s="15" t="n">
        <f aca="false">SUM(H4:H12)</f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6.15" hidden="false" customHeight="false" outlineLevel="0" collapsed="false">
      <c r="A1" s="10" t="s">
        <v>251</v>
      </c>
    </row>
    <row r="3" customFormat="false" ht="23.85" hidden="false" customHeight="false" outlineLevel="0" collapsed="false">
      <c r="A3" s="16" t="s">
        <v>252</v>
      </c>
      <c r="B3" s="17" t="s">
        <v>253</v>
      </c>
    </row>
    <row r="4" customFormat="false" ht="23.85" hidden="false" customHeight="false" outlineLevel="0" collapsed="false">
      <c r="A4" s="16" t="s">
        <v>254</v>
      </c>
      <c r="B4" s="17" t="s">
        <v>255</v>
      </c>
    </row>
    <row r="5" customFormat="false" ht="15" hidden="false" customHeight="false" outlineLevel="0" collapsed="false">
      <c r="A5" s="16" t="s">
        <v>256</v>
      </c>
      <c r="B5" s="17" t="s">
        <v>257</v>
      </c>
    </row>
    <row r="6" customFormat="false" ht="15" hidden="false" customHeight="false" outlineLevel="0" collapsed="false">
      <c r="A6" s="16" t="s">
        <v>258</v>
      </c>
      <c r="B6" s="17" t="s">
        <v>259</v>
      </c>
    </row>
    <row r="7" customFormat="false" ht="15" hidden="false" customHeight="false" outlineLevel="0" collapsed="false">
      <c r="A7" s="16" t="s">
        <v>260</v>
      </c>
      <c r="B7" s="17" t="s">
        <v>261</v>
      </c>
    </row>
    <row r="8" customFormat="false" ht="15" hidden="false" customHeight="false" outlineLevel="0" collapsed="false">
      <c r="A8" s="16" t="s">
        <v>262</v>
      </c>
      <c r="B8" s="17" t="s">
        <v>263</v>
      </c>
    </row>
    <row r="9" customFormat="false" ht="23.85" hidden="false" customHeight="false" outlineLevel="0" collapsed="false">
      <c r="A9" s="16" t="s">
        <v>264</v>
      </c>
      <c r="B9" s="17" t="s">
        <v>265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2026-07-16T14:54:04Z</dcterms:created>
  <dc:creator>openpyxl</dc:creator>
  <dc:description/>
  <dc:language>en-US</dc:language>
  <cp:lastModifiedBy/>
  <dcterms:modified xsi:type="dcterms:W3CDTF">2026-07-16T14:54:04Z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